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acunación 2025 por Municipio" sheetId="1" state="visible" r:id="rId1"/>
    <sheet name="Hoja1" sheetId="2" state="visible" r:id="rId2"/>
  </sheets>
  <calcPr calcMode="manual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<sst xmlns="http://schemas.openxmlformats.org/spreadsheetml/2006/main" count="98" uniqueCount="98">
  <si>
    <t>Municipios</t>
  </si>
  <si>
    <t>Meta</t>
  </si>
  <si>
    <t xml:space="preserve">Logro </t>
  </si>
  <si>
    <t>Porcentaje</t>
  </si>
  <si>
    <t>Ajacuba</t>
  </si>
  <si>
    <t>Atitalaquia</t>
  </si>
  <si>
    <t xml:space="preserve">Atotonilco de Tula</t>
  </si>
  <si>
    <t xml:space="preserve">Tepeji del Río de Ocampo</t>
  </si>
  <si>
    <t>Tepetitlán</t>
  </si>
  <si>
    <t>Tetepango</t>
  </si>
  <si>
    <t xml:space="preserve">Tezontepec de Aldama</t>
  </si>
  <si>
    <t>Tlahuelilpan</t>
  </si>
  <si>
    <t>Tlaxcoapan</t>
  </si>
  <si>
    <t xml:space="preserve">Tula de Allende</t>
  </si>
  <si>
    <t>Acatlán</t>
  </si>
  <si>
    <t>Acaxochitlán</t>
  </si>
  <si>
    <t xml:space="preserve">Agua Blanca de Iturbide</t>
  </si>
  <si>
    <t xml:space="preserve">Cuautepec de Hinojosa</t>
  </si>
  <si>
    <t>Huehuetla</t>
  </si>
  <si>
    <t>Metepec</t>
  </si>
  <si>
    <t xml:space="preserve">San Bartolo Tutotepec</t>
  </si>
  <si>
    <t xml:space="preserve">Santiago Tulantepec de Lugo Guerrero</t>
  </si>
  <si>
    <t>Singuilucan</t>
  </si>
  <si>
    <t xml:space="preserve">Tenango de Doria</t>
  </si>
  <si>
    <t xml:space="preserve">Tulancingo de Bravo</t>
  </si>
  <si>
    <t xml:space="preserve">Pachuca de Soto</t>
  </si>
  <si>
    <t xml:space="preserve">San Agustín Tlaxiaca</t>
  </si>
  <si>
    <t xml:space="preserve">Zapotlán de Juárez</t>
  </si>
  <si>
    <t>Atlapexco</t>
  </si>
  <si>
    <t>Calnali</t>
  </si>
  <si>
    <t>Huautla</t>
  </si>
  <si>
    <t>Huazalingo</t>
  </si>
  <si>
    <t xml:space="preserve">Huejutla de Reyes</t>
  </si>
  <si>
    <t>Jaltocán</t>
  </si>
  <si>
    <t>Lolotla</t>
  </si>
  <si>
    <t xml:space="preserve">San Felipe Orizatlán</t>
  </si>
  <si>
    <t>Tlanchinol</t>
  </si>
  <si>
    <t>Xochiatipan</t>
  </si>
  <si>
    <t>Yahualica</t>
  </si>
  <si>
    <t>Epazoyucan</t>
  </si>
  <si>
    <t xml:space="preserve">Huasca de Ocampo</t>
  </si>
  <si>
    <t xml:space="preserve">Mineral de la Reforma</t>
  </si>
  <si>
    <t xml:space="preserve">Mineral del Chico</t>
  </si>
  <si>
    <t xml:space="preserve">Mineral del Monte</t>
  </si>
  <si>
    <t xml:space="preserve">Omitlán de Juárez</t>
  </si>
  <si>
    <t xml:space="preserve"> </t>
  </si>
  <si>
    <t>Tizayuca</t>
  </si>
  <si>
    <t xml:space="preserve">Tolcayuca </t>
  </si>
  <si>
    <t xml:space="preserve">Villa de Tezontepec</t>
  </si>
  <si>
    <t>Zempoala</t>
  </si>
  <si>
    <t>Actopan</t>
  </si>
  <si>
    <t xml:space="preserve">El Arenal</t>
  </si>
  <si>
    <t xml:space="preserve">Francisco I. Madero</t>
  </si>
  <si>
    <t xml:space="preserve">Mixquiahuala de Juárez</t>
  </si>
  <si>
    <t xml:space="preserve">Progreso de Obregón</t>
  </si>
  <si>
    <t xml:space="preserve">San Salvador</t>
  </si>
  <si>
    <t xml:space="preserve">Santiago de Anaya</t>
  </si>
  <si>
    <t>Alfajayucan</t>
  </si>
  <si>
    <t>Cardonal</t>
  </si>
  <si>
    <t>Chilcuautla</t>
  </si>
  <si>
    <t>Ixmiquilpan</t>
  </si>
  <si>
    <t xml:space="preserve">Nicolás Flores</t>
  </si>
  <si>
    <t>Tasquillo</t>
  </si>
  <si>
    <t>Zimapán</t>
  </si>
  <si>
    <t xml:space="preserve">Atotonilco el Grande</t>
  </si>
  <si>
    <t>Eloxochitlán</t>
  </si>
  <si>
    <t xml:space="preserve">Juárez Hidalgo</t>
  </si>
  <si>
    <t>Metztitlán</t>
  </si>
  <si>
    <t xml:space="preserve">Molango de Escamilla</t>
  </si>
  <si>
    <t xml:space="preserve">San Agustín Metzquititlán</t>
  </si>
  <si>
    <t xml:space="preserve">Tepehuacán de Guerrero</t>
  </si>
  <si>
    <t>Tianguistengo</t>
  </si>
  <si>
    <t>Tlahuiltepa</t>
  </si>
  <si>
    <t>Xochicoatlán</t>
  </si>
  <si>
    <t xml:space="preserve">Zacualtipán de Ángeles</t>
  </si>
  <si>
    <t>Almoloya</t>
  </si>
  <si>
    <t>Apan</t>
  </si>
  <si>
    <t xml:space="preserve">Emiliano Zapata</t>
  </si>
  <si>
    <t>Tepeapulco</t>
  </si>
  <si>
    <t>Tlanalapa</t>
  </si>
  <si>
    <t>Chapantongo</t>
  </si>
  <si>
    <t>Huichapan</t>
  </si>
  <si>
    <t xml:space="preserve">Nopala de Villagrán</t>
  </si>
  <si>
    <t>Tecozautla</t>
  </si>
  <si>
    <t>Chapulhuacán</t>
  </si>
  <si>
    <t xml:space="preserve">Jacala de Ledezma</t>
  </si>
  <si>
    <t xml:space="preserve">La Misión</t>
  </si>
  <si>
    <t>n</t>
  </si>
  <si>
    <t>Pacula</t>
  </si>
  <si>
    <t>Pisaflores</t>
  </si>
  <si>
    <t>Jurisdicción</t>
  </si>
  <si>
    <t>Nombre</t>
  </si>
  <si>
    <t xml:space="preserve">Total frascos requeridos</t>
  </si>
  <si>
    <t>Dosis</t>
  </si>
  <si>
    <t>Total</t>
  </si>
  <si>
    <t xml:space="preserve">Animales vacunados</t>
  </si>
  <si>
    <t xml:space="preserve">Animales Esterilizados</t>
  </si>
  <si>
    <t>Jurisdiccional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</si>
</sst>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1">
    <font>
      <sz val="11.000000"/>
      <color indexed="64"/>
      <name val="Calibri"/>
    </font>
    <font>
      <sz val="10.000000"/>
      <name val="Arial"/>
    </font>
    <font>
      <b/>
      <sz val="12.000000"/>
      <color indexed="64"/>
      <name val="Arial"/>
    </font>
    <font>
      <sz val="12.000000"/>
      <color indexed="64"/>
      <name val="Arial"/>
    </font>
    <font>
      <b/>
      <sz val="11.000000"/>
      <color theme="1"/>
      <name val="Arial"/>
    </font>
    <font>
      <b/>
      <sz val="12.000000"/>
      <name val="Arial"/>
    </font>
    <font>
      <sz val="12.000000"/>
      <color indexed="64"/>
      <name val="Calibri"/>
    </font>
    <font>
      <b/>
      <sz val="12.000000"/>
      <name val="Calibri"/>
    </font>
    <font>
      <sz val="11.000000"/>
      <name val="Arial"/>
    </font>
    <font>
      <sz val="12.000000"/>
      <name val="Arial"/>
    </font>
    <font>
      <sz val="11.000000"/>
      <color indexed="64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7"/>
      </patternFill>
    </fill>
  </fills>
  <borders count="30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ck">
        <color indexed="64"/>
      </right>
      <top style="thin">
        <color rgb="FFCCCCCC"/>
      </top>
      <bottom style="thin">
        <color rgb="FFCCCCCC"/>
      </bottom>
      <diagonal style="none"/>
    </border>
    <border>
      <left style="medium">
        <color auto="1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medium">
        <color auto="1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indexed="64"/>
      </right>
      <top style="none"/>
      <bottom style="none"/>
      <diagonal style="none"/>
    </border>
    <border>
      <left style="medium">
        <color auto="1"/>
      </left>
      <right style="thin">
        <color indexed="64"/>
      </right>
      <top style="none"/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medium">
        <color auto="1"/>
      </right>
      <top style="thin">
        <color indexed="64"/>
      </top>
      <bottom style="thin">
        <color indexed="64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5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0" borderId="0" numFmtId="0" applyNumberFormat="1" applyFont="1" applyFill="1" applyBorder="1"/>
    <xf fontId="0" fillId="0" borderId="0" numFmtId="0" applyNumberFormat="0" applyFont="0" applyFill="1" applyBorder="0" applyProtection="0"/>
    <xf fontId="0" fillId="0" borderId="0" numFmtId="9" applyNumberFormat="1" applyFont="0" applyFill="0" applyBorder="0" applyProtection="0"/>
  </cellStyleXfs>
  <cellXfs count="76">
    <xf fontId="0" fillId="0" borderId="0" numFmtId="0" xfId="0"/>
    <xf fontId="0" fillId="0" borderId="0" numFmtId="0" xfId="0" applyAlignment="1">
      <alignment horizontal="center"/>
    </xf>
    <xf fontId="2" fillId="0" borderId="1" numFmtId="0" xfId="0" applyFont="1" applyBorder="1" applyAlignment="1">
      <alignment horizontal="left"/>
    </xf>
    <xf fontId="2" fillId="0" borderId="2" numFmtId="0" xfId="0" applyFont="1" applyBorder="1" applyAlignment="1">
      <alignment horizontal="center" vertical="center"/>
    </xf>
    <xf fontId="2" fillId="0" borderId="2" numFmtId="0" xfId="3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/>
    </xf>
    <xf fontId="3" fillId="0" borderId="1" numFmtId="0" xfId="0" applyFont="1" applyBorder="1" applyAlignment="1">
      <alignment horizontal="left"/>
    </xf>
    <xf fontId="3" fillId="0" borderId="2" numFmtId="3" xfId="0" applyNumberFormat="1" applyFont="1" applyBorder="1" applyAlignment="1">
      <alignment horizontal="center" vertical="center"/>
    </xf>
    <xf fontId="4" fillId="2" borderId="3" numFmtId="2" xfId="4" applyNumberFormat="1" applyFont="1" applyFill="1" applyBorder="1"/>
    <xf fontId="3" fillId="2" borderId="2" numFmtId="3" xfId="0" applyNumberFormat="1" applyFont="1" applyFill="1" applyBorder="1" applyAlignment="1">
      <alignment horizontal="center" vertical="center"/>
    </xf>
    <xf fontId="3" fillId="0" borderId="4" numFmtId="0" xfId="0" applyFont="1" applyBorder="1" applyAlignment="1">
      <alignment horizontal="left"/>
    </xf>
    <xf fontId="3" fillId="0" borderId="5" numFmtId="3" xfId="0" applyNumberFormat="1" applyFont="1" applyBorder="1" applyAlignment="1">
      <alignment horizontal="center" vertical="center"/>
    </xf>
    <xf fontId="4" fillId="2" borderId="6" numFmtId="2" xfId="4" applyNumberFormat="1" applyFont="1" applyFill="1" applyBorder="1"/>
    <xf fontId="3" fillId="0" borderId="1" numFmtId="0" xfId="0" applyFont="1" applyBorder="1" applyAlignment="1">
      <alignment horizontal="left" vertical="center"/>
    </xf>
    <xf fontId="3" fillId="0" borderId="2" numFmtId="0" xfId="0" applyFont="1" applyBorder="1" applyAlignment="1">
      <alignment horizontal="center" vertical="center"/>
    </xf>
    <xf fontId="5" fillId="2" borderId="3" numFmtId="164" xfId="1" applyNumberFormat="1" applyFont="1" applyFill="1" applyBorder="1" applyAlignment="1">
      <alignment vertical="center"/>
    </xf>
    <xf fontId="5" fillId="2" borderId="3" numFmtId="164" xfId="1" applyNumberFormat="1" applyFont="1" applyFill="1" applyBorder="1"/>
    <xf fontId="3" fillId="0" borderId="4" numFmtId="0" xfId="0" applyFont="1" applyBorder="1" applyAlignment="1">
      <alignment horizontal="left" vertical="center"/>
    </xf>
    <xf fontId="3" fillId="0" borderId="5" numFmtId="0" xfId="0" applyFont="1" applyBorder="1" applyAlignment="1">
      <alignment horizontal="center" vertical="center"/>
    </xf>
    <xf fontId="5" fillId="2" borderId="6" numFmtId="164" xfId="1" applyNumberFormat="1" applyFont="1" applyFill="1" applyBorder="1"/>
    <xf fontId="3" fillId="0" borderId="7" numFmtId="0" xfId="0" applyFont="1" applyBorder="1" applyAlignment="1">
      <alignment horizontal="left"/>
    </xf>
    <xf fontId="6" fillId="0" borderId="8" numFmtId="0" xfId="0" applyFont="1" applyBorder="1" applyAlignment="1">
      <alignment horizontal="center" readingOrder="1" wrapText="1"/>
    </xf>
    <xf fontId="7" fillId="2" borderId="9" numFmtId="0" xfId="0" applyFont="1" applyFill="1" applyBorder="1" applyAlignment="1">
      <alignment readingOrder="1" wrapText="1"/>
    </xf>
    <xf fontId="3" fillId="0" borderId="10" numFmtId="0" xfId="0" applyFont="1" applyBorder="1" applyAlignment="1">
      <alignment horizontal="left"/>
    </xf>
    <xf fontId="3" fillId="2" borderId="7" numFmtId="0" xfId="0" applyFont="1" applyFill="1" applyBorder="1" applyAlignment="1">
      <alignment horizontal="left"/>
    </xf>
    <xf fontId="3" fillId="2" borderId="11" numFmtId="0" xfId="0" applyFont="1" applyFill="1" applyBorder="1" applyAlignment="1">
      <alignment horizontal="center" vertical="center"/>
    </xf>
    <xf fontId="5" fillId="2" borderId="12" numFmtId="2" xfId="0" applyNumberFormat="1" applyFont="1" applyFill="1" applyBorder="1"/>
    <xf fontId="3" fillId="2" borderId="10" numFmtId="0" xfId="0" applyFont="1" applyFill="1" applyBorder="1" applyAlignment="1">
      <alignment horizontal="left"/>
    </xf>
    <xf fontId="3" fillId="2" borderId="13" numFmtId="0" xfId="0" applyFont="1" applyFill="1" applyBorder="1" applyAlignment="1">
      <alignment horizontal="center" vertical="center"/>
    </xf>
    <xf fontId="5" fillId="2" borderId="14" numFmtId="2" xfId="0" applyNumberFormat="1" applyFont="1" applyFill="1" applyBorder="1"/>
    <xf fontId="3" fillId="2" borderId="11" numFmtId="3" xfId="0" applyNumberFormat="1" applyFont="1" applyFill="1" applyBorder="1" applyAlignment="1">
      <alignment horizontal="center" vertical="center"/>
    </xf>
    <xf fontId="5" fillId="2" borderId="12" numFmtId="164" xfId="1" applyNumberFormat="1" applyFont="1" applyFill="1" applyBorder="1"/>
    <xf fontId="0" fillId="0" borderId="0" numFmtId="10" xfId="4" applyNumberFormat="1"/>
    <xf fontId="3" fillId="2" borderId="13" numFmtId="3" xfId="0" applyNumberFormat="1" applyFont="1" applyFill="1" applyBorder="1" applyAlignment="1">
      <alignment horizontal="center" vertical="center"/>
    </xf>
    <xf fontId="5" fillId="2" borderId="14" numFmtId="164" xfId="1" applyNumberFormat="1" applyFont="1" applyFill="1" applyBorder="1"/>
    <xf fontId="3" fillId="2" borderId="15" numFmtId="0" xfId="0" applyFont="1" applyFill="1" applyBorder="1" applyAlignment="1">
      <alignment horizontal="center" vertical="center"/>
    </xf>
    <xf fontId="0" fillId="0" borderId="0" numFmtId="0" xfId="0">
      <protection hidden="0" locked="1"/>
    </xf>
    <xf fontId="3" fillId="2" borderId="16" numFmtId="0" xfId="0" applyFont="1" applyFill="1" applyBorder="1" applyAlignment="1">
      <alignment horizontal="center" vertical="center"/>
    </xf>
    <xf fontId="0" fillId="0" borderId="5" numFmtId="2" xfId="4" applyNumberFormat="1" applyBorder="1"/>
    <xf fontId="0" fillId="0" borderId="0" numFmtId="2" xfId="4" applyNumberFormat="1"/>
    <xf fontId="8" fillId="2" borderId="12" numFmtId="164" xfId="1" applyNumberFormat="1" applyFont="1" applyFill="1" applyBorder="1"/>
    <xf fontId="8" fillId="2" borderId="14" numFmtId="164" xfId="1" applyNumberFormat="1" applyFont="1" applyFill="1" applyBorder="1"/>
    <xf fontId="9" fillId="2" borderId="11" numFmtId="0" xfId="0" applyFont="1" applyFill="1" applyBorder="1" applyAlignment="1">
      <alignment horizontal="center" vertical="center"/>
    </xf>
    <xf fontId="3" fillId="2" borderId="1" numFmtId="0" xfId="0" applyFont="1" applyFill="1" applyBorder="1" applyAlignment="1">
      <alignment horizontal="left"/>
    </xf>
    <xf fontId="3" fillId="2" borderId="17" numFmtId="0" xfId="0" applyFont="1" applyFill="1" applyBorder="1" applyAlignment="1">
      <alignment horizontal="center" vertical="center"/>
    </xf>
    <xf fontId="3" fillId="2" borderId="2" numFmtId="0" xfId="0" applyFont="1" applyFill="1" applyBorder="1" applyAlignment="1">
      <alignment horizontal="center" vertical="center"/>
    </xf>
    <xf fontId="5" fillId="2" borderId="18" numFmtId="2" xfId="0" applyNumberFormat="1" applyFont="1" applyFill="1" applyBorder="1"/>
    <xf fontId="3" fillId="2" borderId="19" numFmtId="0" xfId="0" applyFont="1" applyFill="1" applyBorder="1" applyAlignment="1">
      <alignment horizontal="center" vertical="center"/>
    </xf>
    <xf fontId="5" fillId="2" borderId="3" numFmtId="2" xfId="0" applyNumberFormat="1" applyFont="1" applyFill="1" applyBorder="1"/>
    <xf fontId="3" fillId="2" borderId="20" numFmtId="0" xfId="0" applyFont="1" applyFill="1" applyBorder="1" applyAlignment="1">
      <alignment horizontal="left"/>
    </xf>
    <xf fontId="3" fillId="2" borderId="21" numFmtId="0" xfId="0" applyFont="1" applyFill="1" applyBorder="1" applyAlignment="1">
      <alignment horizontal="center" vertical="center"/>
    </xf>
    <xf fontId="3" fillId="2" borderId="4" numFmtId="0" xfId="0" applyFont="1" applyFill="1" applyBorder="1" applyAlignment="1">
      <alignment horizontal="left"/>
    </xf>
    <xf fontId="3" fillId="2" borderId="5" numFmtId="0" xfId="0" applyFont="1" applyFill="1" applyBorder="1" applyAlignment="1">
      <alignment horizontal="center" vertical="center"/>
    </xf>
    <xf fontId="5" fillId="2" borderId="6" numFmtId="2" xfId="0" applyNumberFormat="1" applyFont="1" applyFill="1" applyBorder="1"/>
    <xf fontId="10" fillId="2" borderId="11" numFmtId="0" xfId="0" applyFont="1" applyFill="1" applyBorder="1" applyAlignment="1">
      <alignment horizontal="center" vertical="center"/>
    </xf>
    <xf fontId="2" fillId="2" borderId="22" numFmtId="0" xfId="3" applyFont="1" applyFill="1" applyBorder="1" applyAlignment="1">
      <alignment horizontal="left"/>
    </xf>
    <xf fontId="2" fillId="2" borderId="23" numFmtId="0" xfId="0" applyFont="1" applyFill="1" applyBorder="1" applyAlignment="1">
      <alignment horizontal="center" vertical="center"/>
    </xf>
    <xf fontId="2" fillId="2" borderId="23" numFmtId="0" xfId="3" applyFont="1" applyFill="1" applyBorder="1" applyAlignment="1">
      <alignment horizontal="center" vertical="center"/>
    </xf>
    <xf fontId="2" fillId="2" borderId="24" numFmtId="0" xfId="3" applyFont="1" applyFill="1" applyBorder="1" applyAlignment="1">
      <alignment horizontal="center" vertical="center"/>
    </xf>
    <xf fontId="2" fillId="3" borderId="10" numFmtId="0" xfId="3" applyFont="1" applyFill="1" applyBorder="1" applyAlignment="1">
      <alignment horizontal="center" vertical="center"/>
    </xf>
    <xf fontId="2" fillId="2" borderId="11" numFmtId="0" xfId="3" applyFont="1" applyFill="1" applyBorder="1" applyAlignment="1">
      <alignment horizontal="center" vertical="center" wrapText="1"/>
    </xf>
    <xf fontId="2" fillId="2" borderId="11" numFmtId="0" xfId="3" applyFont="1" applyFill="1" applyBorder="1" applyAlignment="1">
      <alignment horizontal="center" vertical="center"/>
    </xf>
    <xf fontId="2" fillId="2" borderId="12" numFmtId="0" xfId="3" applyFont="1" applyFill="1" applyBorder="1" applyAlignment="1">
      <alignment horizontal="center" vertical="center"/>
    </xf>
    <xf fontId="2" fillId="3" borderId="25" numFmtId="0" xfId="3" applyFont="1" applyFill="1" applyBorder="1" applyAlignment="1">
      <alignment horizontal="center" vertical="center"/>
    </xf>
    <xf fontId="2" fillId="3" borderId="26" numFmtId="0" xfId="3" applyFont="1" applyFill="1" applyBorder="1" applyAlignment="1">
      <alignment horizontal="center" vertical="center"/>
    </xf>
    <xf fontId="3" fillId="2" borderId="27" numFmtId="0" xfId="0" applyFont="1" applyFill="1" applyBorder="1" applyAlignment="1">
      <alignment horizontal="center" vertical="center"/>
    </xf>
    <xf fontId="3" fillId="2" borderId="28" numFmtId="0" xfId="0" applyFont="1" applyFill="1" applyBorder="1" applyAlignment="1">
      <alignment horizontal="center" vertical="center"/>
    </xf>
    <xf fontId="2" fillId="2" borderId="7" numFmtId="0" xfId="0" applyFont="1" applyFill="1" applyBorder="1" applyAlignment="1">
      <alignment horizontal="center"/>
    </xf>
    <xf fontId="2" fillId="2" borderId="2" numFmtId="0" xfId="0" applyFont="1" applyFill="1" applyBorder="1" applyAlignment="1">
      <alignment horizontal="center" vertical="center"/>
    </xf>
    <xf fontId="2" fillId="2" borderId="2" numFmtId="0" xfId="3" applyFont="1" applyFill="1" applyBorder="1" applyAlignment="1">
      <alignment horizontal="center" vertical="center" wrapText="1"/>
    </xf>
    <xf fontId="2" fillId="2" borderId="3" numFmtId="0" xfId="0" applyFont="1" applyFill="1" applyBorder="1" applyAlignment="1">
      <alignment horizontal="center" vertical="center"/>
    </xf>
    <xf fontId="5" fillId="2" borderId="12" numFmtId="164" xfId="1" applyNumberFormat="1" applyFont="1" applyFill="1" applyBorder="1" applyAlignment="1">
      <alignment horizontal="center" vertical="center"/>
    </xf>
    <xf fontId="5" fillId="2" borderId="14" numFmtId="164" xfId="1" applyNumberFormat="1" applyFont="1" applyFill="1" applyBorder="1" applyAlignment="1">
      <alignment horizontal="center" vertical="center"/>
    </xf>
    <xf fontId="2" fillId="2" borderId="29" numFmtId="0" xfId="0" applyFont="1" applyFill="1" applyBorder="1" applyAlignment="1">
      <alignment horizontal="left"/>
    </xf>
    <xf fontId="2" fillId="2" borderId="29" numFmtId="3" xfId="0" applyNumberFormat="1" applyFont="1" applyFill="1" applyBorder="1" applyAlignment="1">
      <alignment horizontal="center" vertical="center"/>
    </xf>
    <xf fontId="5" fillId="2" borderId="29" numFmtId="164" xfId="1" applyNumberFormat="1" applyFont="1" applyFill="1" applyBorder="1" applyAlignment="1">
      <alignment horizontal="center" vertical="center"/>
    </xf>
  </cellXfs>
  <cellStyles count="5">
    <cellStyle name="Millares" xfId="1" builtinId="3"/>
    <cellStyle name="Normal" xfId="0" builtinId="0"/>
    <cellStyle name="Normal 2" xfId="2"/>
    <cellStyle name="Normal 4" xfId="3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65" activeCellId="0" sqref="B65:E76"/>
    </sheetView>
  </sheetViews>
  <sheetFormatPr baseColWidth="10" defaultRowHeight="14.25"/>
  <cols>
    <col customWidth="1" min="1" max="1" width="33.7109375"/>
    <col customWidth="1" min="2" max="2" width="19"/>
    <col customWidth="1" min="3" max="3" width="32.42578125"/>
    <col customWidth="1" min="4" max="4" style="1" width="18.85546875"/>
  </cols>
  <sheetData>
    <row r="1" ht="15">
      <c r="A1" s="2" t="s">
        <v>0</v>
      </c>
      <c r="B1" s="3" t="s">
        <v>1</v>
      </c>
      <c r="C1" s="4" t="s">
        <v>2</v>
      </c>
      <c r="D1" s="5" t="s">
        <v>3</v>
      </c>
    </row>
    <row r="2" ht="15">
      <c r="A2" s="6" t="s">
        <v>4</v>
      </c>
      <c r="B2" s="7">
        <v>5941</v>
      </c>
      <c r="C2" s="7">
        <v>5500</v>
      </c>
      <c r="D2" s="8">
        <v>92.579999999999998</v>
      </c>
    </row>
    <row r="3" ht="15">
      <c r="A3" s="6" t="s">
        <v>5</v>
      </c>
      <c r="B3" s="7">
        <v>9031</v>
      </c>
      <c r="C3" s="7">
        <v>5868</v>
      </c>
      <c r="D3" s="8">
        <v>64.980000000000004</v>
      </c>
    </row>
    <row r="4" ht="15">
      <c r="A4" s="6" t="s">
        <v>6</v>
      </c>
      <c r="B4" s="7">
        <v>19214</v>
      </c>
      <c r="C4" s="7">
        <v>13010</v>
      </c>
      <c r="D4" s="8">
        <v>67.709999999999994</v>
      </c>
    </row>
    <row r="5" ht="15">
      <c r="A5" s="6" t="s">
        <v>7</v>
      </c>
      <c r="B5" s="7">
        <v>29402</v>
      </c>
      <c r="C5" s="7">
        <v>23042</v>
      </c>
      <c r="D5" s="8">
        <v>78.370000000000005</v>
      </c>
    </row>
    <row r="6" ht="15">
      <c r="A6" s="6" t="s">
        <v>8</v>
      </c>
      <c r="B6" s="9">
        <v>4300</v>
      </c>
      <c r="C6" s="9">
        <v>4859</v>
      </c>
      <c r="D6" s="8">
        <v>113</v>
      </c>
    </row>
    <row r="7" ht="15">
      <c r="A7" s="6" t="s">
        <v>9</v>
      </c>
      <c r="B7" s="7">
        <v>3532</v>
      </c>
      <c r="C7" s="7">
        <v>3102</v>
      </c>
      <c r="D7" s="8">
        <v>87.829999999999998</v>
      </c>
    </row>
    <row r="8" ht="15">
      <c r="A8" s="6" t="s">
        <v>10</v>
      </c>
      <c r="B8" s="7">
        <v>16821</v>
      </c>
      <c r="C8" s="7">
        <v>10111</v>
      </c>
      <c r="D8" s="8">
        <v>60.109999999999999</v>
      </c>
    </row>
    <row r="9" ht="15">
      <c r="A9" s="6" t="s">
        <v>11</v>
      </c>
      <c r="B9" s="7">
        <v>5433</v>
      </c>
      <c r="C9" s="7">
        <v>3932</v>
      </c>
      <c r="D9" s="8">
        <v>72.370000000000005</v>
      </c>
    </row>
    <row r="10" ht="15">
      <c r="A10" s="6" t="s">
        <v>12</v>
      </c>
      <c r="B10" s="7">
        <v>8011</v>
      </c>
      <c r="C10" s="7">
        <v>6294</v>
      </c>
      <c r="D10" s="8">
        <v>78.569999999999993</v>
      </c>
    </row>
    <row r="11" ht="15">
      <c r="A11" s="10" t="s">
        <v>13</v>
      </c>
      <c r="B11" s="11">
        <v>39025</v>
      </c>
      <c r="C11" s="11">
        <v>37919</v>
      </c>
      <c r="D11" s="12">
        <v>97.170000000000002</v>
      </c>
    </row>
    <row r="12" ht="15">
      <c r="A12" s="13" t="s">
        <v>14</v>
      </c>
      <c r="B12" s="14">
        <v>8225</v>
      </c>
      <c r="C12" s="14">
        <v>8682</v>
      </c>
      <c r="D12" s="15">
        <v>105.56</v>
      </c>
    </row>
    <row r="13" ht="15">
      <c r="A13" s="13" t="s">
        <v>15</v>
      </c>
      <c r="B13" s="14">
        <v>13659</v>
      </c>
      <c r="C13" s="14">
        <v>9308</v>
      </c>
      <c r="D13" s="16">
        <v>68.150000000000006</v>
      </c>
    </row>
    <row r="14" ht="15">
      <c r="A14" s="13" t="s">
        <v>16</v>
      </c>
      <c r="B14" s="14">
        <v>3854</v>
      </c>
      <c r="C14" s="14">
        <v>2121</v>
      </c>
      <c r="D14" s="16">
        <v>55.030000000000001</v>
      </c>
    </row>
    <row r="15" ht="15">
      <c r="A15" s="13" t="s">
        <v>17</v>
      </c>
      <c r="B15" s="14">
        <v>20341</v>
      </c>
      <c r="C15" s="14">
        <v>11592</v>
      </c>
      <c r="D15" s="16">
        <v>56.990000000000002</v>
      </c>
    </row>
    <row r="16" ht="15">
      <c r="A16" s="13" t="s">
        <v>18</v>
      </c>
      <c r="B16" s="14">
        <v>8077</v>
      </c>
      <c r="C16" s="14">
        <v>1958</v>
      </c>
      <c r="D16" s="16">
        <v>24.239999999999998</v>
      </c>
    </row>
    <row r="17" ht="15">
      <c r="A17" s="13" t="s">
        <v>19</v>
      </c>
      <c r="B17" s="14">
        <v>4822</v>
      </c>
      <c r="C17" s="14">
        <v>2823</v>
      </c>
      <c r="D17" s="16">
        <v>58.539999999999999</v>
      </c>
    </row>
    <row r="18" ht="15">
      <c r="A18" s="13" t="s">
        <v>20</v>
      </c>
      <c r="B18" s="14">
        <v>6239</v>
      </c>
      <c r="C18" s="14">
        <v>2241</v>
      </c>
      <c r="D18" s="16">
        <v>35.920000000000002</v>
      </c>
    </row>
    <row r="19" ht="15">
      <c r="A19" s="13" t="s">
        <v>21</v>
      </c>
      <c r="B19" s="14">
        <v>13171</v>
      </c>
      <c r="C19" s="14">
        <v>5829</v>
      </c>
      <c r="D19" s="16">
        <v>44.259999999999998</v>
      </c>
    </row>
    <row r="20" ht="15">
      <c r="A20" s="13" t="s">
        <v>22</v>
      </c>
      <c r="B20" s="14">
        <v>5135</v>
      </c>
      <c r="C20" s="14">
        <v>3644</v>
      </c>
      <c r="D20" s="16">
        <v>70.959999999999994</v>
      </c>
    </row>
    <row r="21" ht="15">
      <c r="A21" s="13" t="s">
        <v>23</v>
      </c>
      <c r="B21" s="14">
        <v>6131</v>
      </c>
      <c r="C21" s="14">
        <v>5060</v>
      </c>
      <c r="D21" s="16">
        <v>82.530000000000001</v>
      </c>
    </row>
    <row r="22" ht="15">
      <c r="A22" s="17" t="s">
        <v>24</v>
      </c>
      <c r="B22" s="18">
        <v>43181</v>
      </c>
      <c r="C22" s="18">
        <v>33399</v>
      </c>
      <c r="D22" s="19">
        <v>77.349999999999994</v>
      </c>
    </row>
    <row r="23" ht="16.5">
      <c r="A23" s="20" t="s">
        <v>25</v>
      </c>
      <c r="B23" s="21">
        <v>77394</v>
      </c>
      <c r="C23" s="21">
        <v>3764</v>
      </c>
      <c r="D23" s="22">
        <v>48.630000000000003</v>
      </c>
    </row>
    <row r="24" ht="16.5">
      <c r="A24" s="20" t="s">
        <v>26</v>
      </c>
      <c r="B24" s="21">
        <v>13218</v>
      </c>
      <c r="C24" s="21">
        <v>7161</v>
      </c>
      <c r="D24" s="22">
        <v>54.18</v>
      </c>
    </row>
    <row r="25" ht="16.5">
      <c r="A25" s="23" t="s">
        <v>27</v>
      </c>
      <c r="B25" s="21">
        <v>5864</v>
      </c>
      <c r="C25" s="21">
        <v>5182</v>
      </c>
      <c r="D25" s="22">
        <v>88.370000000000005</v>
      </c>
    </row>
    <row r="26" ht="15">
      <c r="A26" s="24" t="s">
        <v>28</v>
      </c>
      <c r="B26" s="25">
        <v>7230</v>
      </c>
      <c r="C26" s="25">
        <v>4239</v>
      </c>
      <c r="D26" s="26">
        <v>58.630000000000003</v>
      </c>
    </row>
    <row r="27" ht="15">
      <c r="A27" s="24" t="s">
        <v>29</v>
      </c>
      <c r="B27" s="25">
        <v>5680</v>
      </c>
      <c r="C27" s="25">
        <v>3842</v>
      </c>
      <c r="D27" s="26">
        <v>67.640000000000001</v>
      </c>
    </row>
    <row r="28" ht="15">
      <c r="A28" s="24" t="s">
        <v>30</v>
      </c>
      <c r="B28" s="25">
        <v>7629</v>
      </c>
      <c r="C28" s="25">
        <v>5410</v>
      </c>
      <c r="D28" s="26">
        <v>70.909999999999997</v>
      </c>
    </row>
    <row r="29" ht="15">
      <c r="A29" s="24" t="s">
        <v>31</v>
      </c>
      <c r="B29" s="25">
        <v>4616</v>
      </c>
      <c r="C29" s="25">
        <v>2447</v>
      </c>
      <c r="D29" s="26">
        <v>53.009999999999998</v>
      </c>
    </row>
    <row r="30" ht="15">
      <c r="A30" s="24" t="s">
        <v>32</v>
      </c>
      <c r="B30" s="25">
        <v>42244</v>
      </c>
      <c r="C30" s="25">
        <v>18082</v>
      </c>
      <c r="D30" s="26">
        <v>42.799999999999997</v>
      </c>
    </row>
    <row r="31" ht="15">
      <c r="A31" s="24" t="s">
        <v>33</v>
      </c>
      <c r="B31" s="25">
        <v>3151</v>
      </c>
      <c r="C31" s="25">
        <v>1479</v>
      </c>
      <c r="D31" s="26">
        <v>46.939999999999998</v>
      </c>
    </row>
    <row r="32" ht="15">
      <c r="A32" s="24" t="s">
        <v>34</v>
      </c>
      <c r="B32" s="25">
        <v>3499</v>
      </c>
      <c r="C32" s="25">
        <v>2006</v>
      </c>
      <c r="D32" s="26">
        <v>57.329999999999998</v>
      </c>
    </row>
    <row r="33" ht="15">
      <c r="A33" s="24" t="s">
        <v>35</v>
      </c>
      <c r="B33" s="25">
        <v>12336</v>
      </c>
      <c r="C33" s="25">
        <v>7282</v>
      </c>
      <c r="D33" s="26">
        <v>59.039999999999999</v>
      </c>
    </row>
    <row r="34" ht="15">
      <c r="A34" s="24" t="s">
        <v>36</v>
      </c>
      <c r="B34" s="25">
        <v>12367</v>
      </c>
      <c r="C34" s="25">
        <v>7753</v>
      </c>
      <c r="D34" s="26">
        <v>62.689999999999998</v>
      </c>
    </row>
    <row r="35" ht="15.75" customHeight="1">
      <c r="A35" s="24" t="s">
        <v>37</v>
      </c>
      <c r="B35" s="25">
        <v>6467</v>
      </c>
      <c r="C35" s="25">
        <v>5277</v>
      </c>
      <c r="D35" s="26">
        <v>81.599999999999994</v>
      </c>
    </row>
    <row r="36" ht="15" customHeight="1">
      <c r="A36" s="27" t="s">
        <v>38</v>
      </c>
      <c r="B36" s="28">
        <v>8337</v>
      </c>
      <c r="C36" s="28">
        <v>5703</v>
      </c>
      <c r="D36" s="29">
        <v>68.409999999999997</v>
      </c>
    </row>
    <row r="37" ht="15">
      <c r="A37" s="24" t="s">
        <v>39</v>
      </c>
      <c r="B37" s="30">
        <v>6093</v>
      </c>
      <c r="C37" s="25">
        <v>4000</v>
      </c>
      <c r="D37" s="31">
        <v>65.650000000000006</v>
      </c>
      <c r="E37" s="32"/>
    </row>
    <row r="38" ht="15">
      <c r="A38" s="24" t="s">
        <v>40</v>
      </c>
      <c r="B38" s="30">
        <v>6575</v>
      </c>
      <c r="C38" s="30">
        <v>6761</v>
      </c>
      <c r="D38" s="31">
        <v>102.83</v>
      </c>
      <c r="E38" s="32"/>
    </row>
    <row r="39" ht="15">
      <c r="A39" s="24" t="s">
        <v>41</v>
      </c>
      <c r="B39" s="30">
        <v>67763</v>
      </c>
      <c r="C39" s="30">
        <v>33878</v>
      </c>
      <c r="D39" s="31">
        <v>49.990000000000002</v>
      </c>
      <c r="E39" s="32"/>
    </row>
    <row r="40" ht="15">
      <c r="A40" s="24" t="s">
        <v>42</v>
      </c>
      <c r="B40" s="30">
        <v>3396</v>
      </c>
      <c r="C40" s="25">
        <v>3241</v>
      </c>
      <c r="D40" s="31">
        <v>95.439999999999998</v>
      </c>
      <c r="E40" s="32"/>
    </row>
    <row r="41" ht="15" customHeight="1">
      <c r="A41" s="24" t="s">
        <v>43</v>
      </c>
      <c r="B41" s="30">
        <v>4385</v>
      </c>
      <c r="C41" s="25">
        <v>3825</v>
      </c>
      <c r="D41" s="31">
        <v>87.230000000000004</v>
      </c>
      <c r="E41" s="32"/>
    </row>
    <row r="42" ht="15">
      <c r="A42" s="27" t="s">
        <v>44</v>
      </c>
      <c r="B42" s="33">
        <v>3582</v>
      </c>
      <c r="C42" s="33">
        <v>3954</v>
      </c>
      <c r="D42" s="34">
        <v>110.39</v>
      </c>
      <c r="E42" s="32"/>
      <c r="G42" t="s">
        <v>45</v>
      </c>
    </row>
    <row r="43" ht="15">
      <c r="A43" s="24" t="s">
        <v>46</v>
      </c>
      <c r="B43" s="25">
        <v>50554</v>
      </c>
      <c r="C43" s="25">
        <v>25899</v>
      </c>
      <c r="D43" s="26">
        <v>51.229999999999997</v>
      </c>
    </row>
    <row r="44" ht="15" customHeight="1">
      <c r="A44" s="24" t="s">
        <v>47</v>
      </c>
      <c r="B44" s="25">
        <v>6284</v>
      </c>
      <c r="C44" s="25">
        <v>4892</v>
      </c>
      <c r="D44" s="26">
        <v>77.849999999999994</v>
      </c>
    </row>
    <row r="45" ht="15">
      <c r="A45" s="24" t="s">
        <v>48</v>
      </c>
      <c r="B45" s="25">
        <v>3986</v>
      </c>
      <c r="C45" s="25">
        <v>1433</v>
      </c>
      <c r="D45" s="26">
        <v>35.950000000000003</v>
      </c>
    </row>
    <row r="46" ht="15">
      <c r="A46" s="27" t="s">
        <v>49</v>
      </c>
      <c r="B46" s="28">
        <v>19740</v>
      </c>
      <c r="C46" s="28">
        <v>9551</v>
      </c>
      <c r="D46" s="29">
        <v>48.380000000000003</v>
      </c>
    </row>
    <row r="47" ht="15">
      <c r="A47" s="24" t="s">
        <v>50</v>
      </c>
      <c r="B47" s="30">
        <v>20255</v>
      </c>
      <c r="C47" s="35">
        <v>9845</v>
      </c>
      <c r="D47" s="36">
        <v>48.609999999999999</v>
      </c>
    </row>
    <row r="48" ht="15">
      <c r="A48" s="24" t="s">
        <v>51</v>
      </c>
      <c r="B48" s="30">
        <v>6880</v>
      </c>
      <c r="C48" s="35">
        <v>8465</v>
      </c>
      <c r="D48" s="36">
        <v>123.04000000000001</v>
      </c>
    </row>
    <row r="49" ht="15">
      <c r="A49" s="24" t="s">
        <v>52</v>
      </c>
      <c r="B49" s="30">
        <v>11859</v>
      </c>
      <c r="C49" s="35">
        <v>7713</v>
      </c>
      <c r="D49" s="36">
        <v>65.040000000000006</v>
      </c>
    </row>
    <row r="50" ht="15" customHeight="1">
      <c r="A50" s="24" t="s">
        <v>53</v>
      </c>
      <c r="B50" s="30">
        <v>16519</v>
      </c>
      <c r="C50" s="35">
        <v>8391</v>
      </c>
      <c r="D50" s="36">
        <v>50.799999999999997</v>
      </c>
    </row>
    <row r="51" ht="15">
      <c r="A51" s="24" t="s">
        <v>54</v>
      </c>
      <c r="B51" s="30">
        <v>7939</v>
      </c>
      <c r="C51" s="35">
        <v>4285</v>
      </c>
      <c r="D51" s="36">
        <v>53.969999999999999</v>
      </c>
    </row>
    <row r="52" ht="15">
      <c r="A52" s="24" t="s">
        <v>55</v>
      </c>
      <c r="B52" s="30">
        <v>13649</v>
      </c>
      <c r="C52" s="35">
        <v>8774</v>
      </c>
      <c r="D52" s="36">
        <v>64.280000000000001</v>
      </c>
    </row>
    <row r="53" ht="15">
      <c r="A53" s="27" t="s">
        <v>56</v>
      </c>
      <c r="B53" s="33">
        <v>6474</v>
      </c>
      <c r="C53" s="37">
        <v>6155</v>
      </c>
      <c r="D53" s="36">
        <v>95.069999999999993</v>
      </c>
    </row>
    <row r="54" ht="15">
      <c r="A54" s="24" t="s">
        <v>57</v>
      </c>
      <c r="B54" s="30">
        <v>7479</v>
      </c>
      <c r="C54" s="30">
        <v>8520</v>
      </c>
      <c r="D54" s="38">
        <v>113.92</v>
      </c>
      <c r="E54" s="39"/>
    </row>
    <row r="55" ht="15">
      <c r="A55" s="24" t="s">
        <v>58</v>
      </c>
      <c r="B55" s="30">
        <v>7553</v>
      </c>
      <c r="C55" s="30">
        <v>6502</v>
      </c>
      <c r="D55" s="38">
        <v>86.079999999999998</v>
      </c>
      <c r="E55" s="39"/>
    </row>
    <row r="56" ht="15" customHeight="1">
      <c r="A56" s="24" t="s">
        <v>59</v>
      </c>
      <c r="B56" s="30">
        <v>7018</v>
      </c>
      <c r="C56" s="30">
        <v>5124</v>
      </c>
      <c r="D56" s="36">
        <v>73</v>
      </c>
    </row>
    <row r="57" ht="15">
      <c r="A57" s="24" t="s">
        <v>60</v>
      </c>
      <c r="B57" s="30">
        <v>34614</v>
      </c>
      <c r="C57" s="30">
        <v>25247</v>
      </c>
      <c r="D57" s="40">
        <v>72.900000000000006</v>
      </c>
    </row>
    <row r="58" ht="15">
      <c r="A58" s="24" t="s">
        <v>61</v>
      </c>
      <c r="B58" s="30">
        <v>2363</v>
      </c>
      <c r="C58" s="30">
        <v>2762</v>
      </c>
      <c r="D58" s="40">
        <v>116.90000000000001</v>
      </c>
    </row>
    <row r="59" ht="15">
      <c r="A59" s="24" t="s">
        <v>62</v>
      </c>
      <c r="B59" s="30">
        <v>6409</v>
      </c>
      <c r="C59" s="30">
        <v>5722</v>
      </c>
      <c r="D59" s="40">
        <v>89.299999999999997</v>
      </c>
    </row>
    <row r="60" ht="15">
      <c r="A60" s="27" t="s">
        <v>63</v>
      </c>
      <c r="B60" s="33">
        <v>13633</v>
      </c>
      <c r="C60" s="33">
        <v>4987</v>
      </c>
      <c r="D60" s="41">
        <v>36.600000000000001</v>
      </c>
    </row>
    <row r="61" ht="15">
      <c r="A61" s="24" t="s">
        <v>64</v>
      </c>
      <c r="B61" s="25">
        <v>10573</v>
      </c>
      <c r="C61" s="25">
        <v>10583</v>
      </c>
      <c r="D61" s="26">
        <v>100.09</v>
      </c>
    </row>
    <row r="62" ht="15">
      <c r="A62" s="24" t="s">
        <v>65</v>
      </c>
      <c r="B62" s="42">
        <v>1084</v>
      </c>
      <c r="C62" s="25">
        <v>1084</v>
      </c>
      <c r="D62" s="26">
        <v>100</v>
      </c>
    </row>
    <row r="63" ht="15">
      <c r="A63" s="24" t="s">
        <v>66</v>
      </c>
      <c r="B63" s="25">
        <v>1148</v>
      </c>
      <c r="C63" s="25">
        <v>1543</v>
      </c>
      <c r="D63" s="26">
        <v>134.41</v>
      </c>
    </row>
    <row r="64" ht="15">
      <c r="A64" s="24" t="s">
        <v>67</v>
      </c>
      <c r="B64" s="25">
        <v>7997</v>
      </c>
      <c r="C64" s="25">
        <v>3020</v>
      </c>
      <c r="D64" s="26">
        <v>37.759999999999998</v>
      </c>
    </row>
    <row r="65" ht="15.75">
      <c r="A65" s="24" t="s">
        <v>68</v>
      </c>
      <c r="B65" s="25">
        <v>3829</v>
      </c>
      <c r="C65" s="25">
        <v>3683</v>
      </c>
      <c r="D65" s="26">
        <v>96.189999999999998</v>
      </c>
    </row>
    <row r="66" ht="15" customHeight="1">
      <c r="A66" s="24" t="s">
        <v>69</v>
      </c>
      <c r="B66" s="25">
        <v>3860</v>
      </c>
      <c r="C66" s="25">
        <v>3915</v>
      </c>
      <c r="D66" s="26">
        <v>101.42</v>
      </c>
    </row>
    <row r="67" ht="15.75">
      <c r="A67" s="24" t="s">
        <v>70</v>
      </c>
      <c r="B67" s="25">
        <v>10600</v>
      </c>
      <c r="C67" s="25">
        <v>9616</v>
      </c>
      <c r="D67" s="26">
        <v>90.719999999999999</v>
      </c>
    </row>
    <row r="68" ht="15.75">
      <c r="A68" s="24" t="s">
        <v>71</v>
      </c>
      <c r="B68" s="25">
        <v>5343</v>
      </c>
      <c r="C68" s="25">
        <v>5320</v>
      </c>
      <c r="D68" s="26">
        <v>99.569999999999993</v>
      </c>
    </row>
    <row r="69" ht="15.75">
      <c r="A69" s="24" t="s">
        <v>72</v>
      </c>
      <c r="B69" s="25">
        <v>3536</v>
      </c>
      <c r="C69" s="25">
        <v>3534</v>
      </c>
      <c r="D69" s="26">
        <v>99.939999999999998</v>
      </c>
    </row>
    <row r="70" ht="15.75">
      <c r="A70" s="24" t="s">
        <v>73</v>
      </c>
      <c r="B70" s="25">
        <v>2828</v>
      </c>
      <c r="C70" s="25">
        <v>2421</v>
      </c>
      <c r="D70" s="26">
        <v>85.609999999999999</v>
      </c>
    </row>
    <row r="71" ht="16.5">
      <c r="A71" s="27" t="s">
        <v>74</v>
      </c>
      <c r="B71" s="28">
        <v>12617</v>
      </c>
      <c r="C71" s="28">
        <v>6151</v>
      </c>
      <c r="D71" s="29">
        <v>48.75</v>
      </c>
    </row>
    <row r="72" ht="15.75">
      <c r="A72" s="24" t="s">
        <v>75</v>
      </c>
      <c r="B72" s="25">
        <v>4104</v>
      </c>
      <c r="C72" s="25">
        <v>4426</v>
      </c>
      <c r="D72" s="26">
        <v>107.84999999999999</v>
      </c>
    </row>
    <row r="73" ht="15.75">
      <c r="A73" s="24" t="s">
        <v>76</v>
      </c>
      <c r="B73" s="25">
        <v>15787</v>
      </c>
      <c r="C73" s="25">
        <v>10652</v>
      </c>
      <c r="D73" s="26">
        <v>67.469999999999999</v>
      </c>
    </row>
    <row r="74" ht="15.75">
      <c r="A74" s="24" t="s">
        <v>77</v>
      </c>
      <c r="B74" s="25">
        <v>4798</v>
      </c>
      <c r="C74" s="25">
        <v>3657</v>
      </c>
      <c r="D74" s="26">
        <v>76.219999999999999</v>
      </c>
    </row>
    <row r="75" ht="15.75">
      <c r="A75" s="24" t="s">
        <v>78</v>
      </c>
      <c r="B75" s="25">
        <v>19739</v>
      </c>
      <c r="C75" s="25">
        <v>9697</v>
      </c>
      <c r="D75" s="26">
        <v>49.130000000000003</v>
      </c>
    </row>
    <row r="76" ht="16.5">
      <c r="A76" s="27" t="s">
        <v>79</v>
      </c>
      <c r="B76" s="28">
        <v>3533</v>
      </c>
      <c r="C76" s="28">
        <v>2049</v>
      </c>
      <c r="D76" s="29">
        <v>58</v>
      </c>
    </row>
    <row r="77" ht="15.75">
      <c r="A77" s="43" t="s">
        <v>80</v>
      </c>
      <c r="B77" s="44">
        <v>5120</v>
      </c>
      <c r="C77" s="45">
        <v>6380</v>
      </c>
      <c r="D77" s="46">
        <v>124.61</v>
      </c>
    </row>
    <row r="78" ht="15.75">
      <c r="A78" s="43" t="s">
        <v>81</v>
      </c>
      <c r="B78" s="47">
        <v>16446</v>
      </c>
      <c r="C78" s="45">
        <v>12105</v>
      </c>
      <c r="D78" s="48">
        <v>73.599999999999994</v>
      </c>
    </row>
    <row r="79" ht="15.75">
      <c r="A79" s="49" t="s">
        <v>82</v>
      </c>
      <c r="B79" s="47">
        <v>6790</v>
      </c>
      <c r="C79" s="50">
        <v>5588</v>
      </c>
      <c r="D79" s="46">
        <v>82.299999999999997</v>
      </c>
    </row>
    <row r="80" ht="16.5">
      <c r="A80" s="51" t="s">
        <v>83</v>
      </c>
      <c r="B80" s="44">
        <v>13445</v>
      </c>
      <c r="C80" s="52">
        <v>10094</v>
      </c>
      <c r="D80" s="53">
        <v>75.079999999999998</v>
      </c>
    </row>
    <row r="81" ht="15.75">
      <c r="A81" s="24" t="s">
        <v>84</v>
      </c>
      <c r="B81" s="25">
        <v>7901</v>
      </c>
      <c r="C81" s="25">
        <v>5945</v>
      </c>
      <c r="D81" s="31">
        <v>75.239999999999995</v>
      </c>
    </row>
    <row r="82" ht="15.75">
      <c r="A82" s="24" t="s">
        <v>85</v>
      </c>
      <c r="B82" s="25">
        <v>4342</v>
      </c>
      <c r="C82" s="25">
        <v>4450</v>
      </c>
      <c r="D82" s="31">
        <v>102.48999999999999</v>
      </c>
    </row>
    <row r="83" ht="15.75">
      <c r="A83" s="24" t="s">
        <v>86</v>
      </c>
      <c r="B83" s="25">
        <v>3782</v>
      </c>
      <c r="C83" s="54" t="s">
        <v>87</v>
      </c>
      <c r="D83" s="31">
        <v>92.540000000000006</v>
      </c>
    </row>
    <row r="84" ht="15.75">
      <c r="A84" s="24" t="s">
        <v>88</v>
      </c>
      <c r="B84" s="25">
        <v>1869</v>
      </c>
      <c r="C84" s="25">
        <v>1872</v>
      </c>
      <c r="D84" s="31">
        <v>100.16</v>
      </c>
    </row>
    <row r="85" ht="16.5">
      <c r="A85" s="27" t="s">
        <v>89</v>
      </c>
      <c r="B85" s="28">
        <v>6230</v>
      </c>
      <c r="C85" s="37">
        <v>4460</v>
      </c>
      <c r="D85" s="34">
        <v>71.590000000000003</v>
      </c>
    </row>
    <row r="86" ht="14.25">
      <c r="D86" s="1"/>
    </row>
    <row r="87" ht="14.25">
      <c r="D87" s="1"/>
    </row>
    <row r="88" ht="14.25">
      <c r="D88" s="1"/>
    </row>
    <row r="89" ht="14.25">
      <c r="D89" s="1"/>
    </row>
    <row r="90" ht="14.25">
      <c r="D90" s="1"/>
    </row>
    <row r="91" ht="14.25">
      <c r="D91" s="1"/>
    </row>
    <row r="92" ht="14.25">
      <c r="D92" s="1"/>
    </row>
    <row r="93" ht="14.25">
      <c r="D93" s="1"/>
    </row>
    <row r="94" ht="14.25">
      <c r="D94" s="1"/>
    </row>
    <row r="95" ht="14.25">
      <c r="D95" s="1"/>
    </row>
    <row r="97" ht="14.25">
      <c r="D97" s="1"/>
    </row>
    <row r="99" ht="14.25">
      <c r="D99" s="1"/>
    </row>
    <row r="100" ht="14.25">
      <c r="D100" s="1"/>
    </row>
    <row r="101" ht="14.25">
      <c r="D101" s="1"/>
    </row>
    <row r="102" ht="14.25">
      <c r="D102" s="1"/>
    </row>
    <row r="104" ht="14.25">
      <c r="D104" s="1"/>
    </row>
    <row r="105" ht="14.25">
      <c r="D105" s="1"/>
    </row>
    <row r="106" ht="14.25">
      <c r="D106" s="1"/>
    </row>
    <row r="107" ht="14.25">
      <c r="D107" s="1"/>
    </row>
    <row r="108" ht="14.25">
      <c r="D108" s="1"/>
    </row>
    <row r="109" ht="14.25">
      <c r="D109" s="1"/>
    </row>
    <row r="111" ht="14.25">
      <c r="D111" s="1"/>
    </row>
    <row r="112" ht="14.25">
      <c r="D112" s="1"/>
    </row>
    <row r="113" ht="14.25">
      <c r="D113" s="1"/>
    </row>
    <row r="115" ht="14.25">
      <c r="D115" s="1"/>
    </row>
    <row r="116" ht="14.25">
      <c r="D116" s="1"/>
    </row>
    <row r="117" ht="14.25">
      <c r="D117" s="1"/>
    </row>
    <row r="118" ht="14.25">
      <c r="D118" s="1"/>
    </row>
    <row r="119" ht="14.25">
      <c r="D119" s="1"/>
    </row>
    <row r="120" ht="14.25">
      <c r="D120" s="1"/>
    </row>
    <row r="122" ht="14.25">
      <c r="D122" s="1"/>
    </row>
    <row r="123" ht="14.25">
      <c r="D123" s="1"/>
    </row>
    <row r="124" ht="14.25">
      <c r="D124" s="1"/>
    </row>
    <row r="125" ht="14.25">
      <c r="D125" s="1"/>
    </row>
    <row r="126" ht="14.25">
      <c r="D126" s="1"/>
    </row>
    <row r="127" ht="14.25">
      <c r="D127" s="1"/>
    </row>
    <row r="129" ht="14.25">
      <c r="D129" s="1"/>
    </row>
    <row r="131" ht="14.25">
      <c r="D131" s="1"/>
    </row>
    <row r="132" ht="14.25">
      <c r="D132" s="1"/>
    </row>
    <row r="133" ht="14.25">
      <c r="D133" s="1"/>
    </row>
    <row r="134" ht="14.25">
      <c r="D134" s="1"/>
    </row>
    <row r="136" ht="14.25">
      <c r="D136" s="1"/>
    </row>
    <row r="137" ht="14.25">
      <c r="D137" s="1"/>
    </row>
    <row r="139" ht="14.25">
      <c r="D139" s="1"/>
    </row>
    <row r="141" ht="14.25">
      <c r="D141" s="1"/>
    </row>
    <row r="143" ht="14.25">
      <c r="D143" s="1"/>
    </row>
    <row r="144" ht="14.25">
      <c r="D144" s="1"/>
    </row>
    <row r="145" ht="14.25">
      <c r="D145" s="1"/>
    </row>
    <row r="146" ht="14.25">
      <c r="D146" s="1"/>
    </row>
    <row r="150" ht="14.25">
      <c r="D150" s="1"/>
    </row>
    <row r="151" ht="14.25">
      <c r="D151" s="1"/>
    </row>
    <row r="153" ht="14.25">
      <c r="D153" s="1"/>
    </row>
    <row r="157" ht="14.25">
      <c r="D157" s="1"/>
    </row>
    <row r="158" ht="14.25">
      <c r="D158" s="1"/>
    </row>
    <row r="161" ht="14.25">
      <c r="D161" s="1"/>
    </row>
    <row r="165" ht="14.25">
      <c r="D165" s="1"/>
    </row>
    <row r="169" ht="14.25">
      <c r="D169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2" zoomScale="100" workbookViewId="0">
      <selection activeCell="N4" activeCellId="0" sqref="N4"/>
    </sheetView>
  </sheetViews>
  <sheetFormatPr baseColWidth="10" defaultRowHeight="14.25"/>
  <cols>
    <col customWidth="1" min="3" max="3" width="23.7109375"/>
    <col customWidth="1" min="4" max="4" width="26.7109375"/>
    <col customWidth="1" min="5" max="5" width="27.28515625"/>
    <col customWidth="1" min="6" max="6" width="21.85546875"/>
    <col customWidth="1" min="9" max="9" width="18.7109375"/>
    <col customWidth="1" min="10" max="10" width="30.140625"/>
    <col customWidth="1" min="11" max="11" width="32.28515625"/>
    <col customWidth="1" min="12" max="12" width="22"/>
  </cols>
  <sheetData>
    <row r="1" ht="15.75"/>
    <row r="2" ht="15">
      <c r="C2" s="55" t="s">
        <v>90</v>
      </c>
      <c r="D2" s="56" t="s">
        <v>91</v>
      </c>
      <c r="E2" s="57" t="s">
        <v>92</v>
      </c>
      <c r="F2" s="58" t="s">
        <v>93</v>
      </c>
    </row>
    <row r="3" ht="47.25" customHeight="1">
      <c r="C3" s="59">
        <v>5</v>
      </c>
      <c r="D3" s="60" t="s">
        <v>41</v>
      </c>
      <c r="E3" s="61">
        <v>4518</v>
      </c>
      <c r="F3" s="62">
        <f t="shared" ref="F3:F4" si="0">E3*20</f>
        <v>90360</v>
      </c>
      <c r="I3" s="55" t="s">
        <v>90</v>
      </c>
      <c r="J3" s="56" t="s">
        <v>91</v>
      </c>
      <c r="K3" s="57" t="s">
        <v>92</v>
      </c>
      <c r="L3" s="58" t="s">
        <v>93</v>
      </c>
    </row>
    <row r="4" ht="15">
      <c r="C4" s="63"/>
      <c r="D4" s="61" t="s">
        <v>94</v>
      </c>
      <c r="E4" s="61">
        <f>SUM(E3:E3)</f>
        <v>4518</v>
      </c>
      <c r="F4" s="62">
        <f t="shared" si="0"/>
        <v>90360</v>
      </c>
      <c r="I4" s="59">
        <v>5</v>
      </c>
      <c r="J4" s="60" t="s">
        <v>41</v>
      </c>
      <c r="K4" s="61">
        <v>4518</v>
      </c>
      <c r="L4" s="62">
        <f t="shared" ref="L4:L5" si="1">K4*20</f>
        <v>90360</v>
      </c>
    </row>
    <row r="5" ht="15" customHeight="1">
      <c r="C5" s="64"/>
      <c r="D5" s="35" t="s">
        <v>95</v>
      </c>
      <c r="E5" s="65"/>
      <c r="F5" s="66"/>
      <c r="I5" s="63"/>
      <c r="J5" s="61" t="s">
        <v>94</v>
      </c>
      <c r="K5" s="61">
        <f>SUM(K4:K4)</f>
        <v>4518</v>
      </c>
      <c r="L5" s="62">
        <f t="shared" si="1"/>
        <v>90360</v>
      </c>
    </row>
    <row r="6" ht="15">
      <c r="C6" s="67" t="s">
        <v>0</v>
      </c>
      <c r="D6" s="68" t="s">
        <v>1</v>
      </c>
      <c r="E6" s="69" t="s">
        <v>2</v>
      </c>
      <c r="F6" s="70" t="s">
        <v>3</v>
      </c>
      <c r="I6" s="64"/>
      <c r="J6" s="35" t="s">
        <v>96</v>
      </c>
      <c r="K6" s="65"/>
      <c r="L6" s="66"/>
    </row>
    <row r="7" ht="15">
      <c r="C7" s="24" t="s">
        <v>39</v>
      </c>
      <c r="D7" s="30">
        <v>6093</v>
      </c>
      <c r="E7" s="25">
        <v>4000</v>
      </c>
      <c r="F7" s="71">
        <v>65.650000000000006</v>
      </c>
      <c r="I7" s="67" t="s">
        <v>0</v>
      </c>
      <c r="J7" s="68" t="s">
        <v>1</v>
      </c>
      <c r="K7" s="69" t="s">
        <v>2</v>
      </c>
      <c r="L7" s="70" t="s">
        <v>3</v>
      </c>
    </row>
    <row r="8" ht="15">
      <c r="C8" s="24" t="s">
        <v>40</v>
      </c>
      <c r="D8" s="30">
        <v>6575</v>
      </c>
      <c r="E8" s="30">
        <v>6761</v>
      </c>
      <c r="F8" s="71">
        <v>102.83</v>
      </c>
      <c r="I8" s="24" t="s">
        <v>39</v>
      </c>
      <c r="J8" s="30">
        <v>244</v>
      </c>
      <c r="K8" s="25">
        <v>332</v>
      </c>
      <c r="L8" s="71">
        <v>136.06999999999999</v>
      </c>
    </row>
    <row r="9" ht="15">
      <c r="C9" s="24" t="s">
        <v>41</v>
      </c>
      <c r="D9" s="30">
        <v>67763</v>
      </c>
      <c r="E9" s="30">
        <v>33878</v>
      </c>
      <c r="F9" s="71">
        <v>49.990000000000002</v>
      </c>
      <c r="I9" s="24" t="s">
        <v>40</v>
      </c>
      <c r="J9" s="30">
        <v>263</v>
      </c>
      <c r="K9" s="30">
        <v>400</v>
      </c>
      <c r="L9" s="71">
        <v>152.09</v>
      </c>
    </row>
    <row r="10" ht="15">
      <c r="C10" s="24" t="s">
        <v>42</v>
      </c>
      <c r="D10" s="30">
        <v>3396</v>
      </c>
      <c r="E10" s="25">
        <v>3241</v>
      </c>
      <c r="F10" s="71">
        <v>95.439999999999998</v>
      </c>
      <c r="I10" s="24" t="s">
        <v>41</v>
      </c>
      <c r="J10" s="30">
        <v>2711</v>
      </c>
      <c r="K10" s="30">
        <v>629</v>
      </c>
      <c r="L10" s="71">
        <v>23.199999999999999</v>
      </c>
    </row>
    <row r="11" ht="15">
      <c r="C11" s="24" t="s">
        <v>43</v>
      </c>
      <c r="D11" s="30">
        <v>4385</v>
      </c>
      <c r="E11" s="25">
        <v>3825</v>
      </c>
      <c r="F11" s="71">
        <v>87.230000000000004</v>
      </c>
      <c r="I11" s="24" t="s">
        <v>42</v>
      </c>
      <c r="J11" s="30">
        <v>136</v>
      </c>
      <c r="K11" s="25">
        <v>0</v>
      </c>
      <c r="L11" s="71">
        <v>0</v>
      </c>
    </row>
    <row r="12" ht="15">
      <c r="C12" s="27" t="s">
        <v>44</v>
      </c>
      <c r="D12" s="33">
        <v>3582</v>
      </c>
      <c r="E12" s="33">
        <v>3954</v>
      </c>
      <c r="F12" s="72">
        <v>110.39</v>
      </c>
      <c r="I12" s="24" t="s">
        <v>43</v>
      </c>
      <c r="J12" s="30">
        <v>175</v>
      </c>
      <c r="K12" s="25">
        <v>140</v>
      </c>
      <c r="L12" s="71">
        <v>80</v>
      </c>
    </row>
    <row r="13" ht="15">
      <c r="C13" s="73" t="s">
        <v>97</v>
      </c>
      <c r="D13" s="74">
        <f>SUM(D7:D12)</f>
        <v>91794</v>
      </c>
      <c r="E13" s="74">
        <f>SUM(E7:E12)</f>
        <v>55659</v>
      </c>
      <c r="F13" s="75">
        <v>60.630000000000003</v>
      </c>
      <c r="I13" s="27" t="s">
        <v>44</v>
      </c>
      <c r="J13" s="33">
        <v>143</v>
      </c>
      <c r="K13" s="33">
        <v>356</v>
      </c>
      <c r="L13" s="72">
        <v>248.94999999999999</v>
      </c>
    </row>
    <row r="14" ht="15">
      <c r="I14" s="73" t="s">
        <v>97</v>
      </c>
      <c r="J14" s="74">
        <v>3672</v>
      </c>
      <c r="K14" s="74">
        <v>1857</v>
      </c>
      <c r="L14" s="75">
        <v>50.57</v>
      </c>
    </row>
  </sheetData>
  <mergeCells count="4">
    <mergeCell ref="C3:C5"/>
    <mergeCell ref="I4:I6"/>
    <mergeCell ref="D5:F5"/>
    <mergeCell ref="J6:L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Dpto. Emergentes</dc:creator>
  <cp:revision>1</cp:revision>
  <dcterms:created xsi:type="dcterms:W3CDTF">2025-08-18T20:14:09Z</dcterms:created>
  <dcterms:modified xsi:type="dcterms:W3CDTF">2026-02-27T19:10:26Z</dcterms:modified>
</cp:coreProperties>
</file>